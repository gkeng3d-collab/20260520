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ใช้" sheetId="1" state="visible" r:id="rId1"/>
    <sheet name="1.ทั่วไป" sheetId="2" state="visible" r:id="rId2"/>
    <sheet name="2.Material In" sheetId="3" state="visible" r:id="rId3"/>
    <sheet name="3.Blending" sheetId="4" state="visible" r:id="rId4"/>
    <sheet name="4.Material Out" sheetId="5" state="visible" r:id="rId5"/>
    <sheet name="5.FIFO" sheetId="6" state="visible" r:id="rId6"/>
    <sheet name="6.เอกสาร CEF-P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44546A"/>
      <sz val="18"/>
    </font>
    <font>
      <name val="Arial"/>
      <i val="1"/>
      <color rgb="00555555"/>
      <sz val="10"/>
    </font>
    <font>
      <name val="Arial"/>
      <color rgb="009C3D00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sz val="11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44546A"/>
      <sz val="10"/>
    </font>
  </fonts>
  <fills count="9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5B6DAE"/>
      </patternFill>
    </fill>
    <fill>
      <patternFill patternType="solid">
        <fgColor rgb="0070AD47"/>
      </patternFill>
    </fill>
    <fill>
      <patternFill patternType="solid">
        <fgColor rgb="0044546A"/>
      </patternFill>
    </fill>
    <fill>
      <patternFill patternType="solid">
        <fgColor rgb="00EAECF5"/>
      </patternFill>
    </fill>
    <fill>
      <patternFill patternType="solid">
        <fgColor rgb="00D9E1F2"/>
      </patternFill>
    </fill>
    <fill>
      <patternFill patternType="solid">
        <fgColor rgb="00FFFD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0" applyAlignment="1" pivotButton="0" quotePrefix="0" xfId="0">
      <alignment vertical="center" inden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indent="1"/>
    </xf>
    <xf numFmtId="0" fontId="7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 indent="1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 indent="1"/>
    </xf>
    <xf numFmtId="0" fontId="6" fillId="2" borderId="1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0" customWidth="1" min="3" max="3"/>
    <col width="20" customWidth="1" min="4" max="4"/>
  </cols>
  <sheetData>
    <row r="2" ht="30" customHeight="1">
      <c r="B2" s="1" t="inlineStr">
        <is>
          <t>Requirements Gathering Checklist</t>
        </is>
      </c>
    </row>
    <row r="3">
      <c r="B3" s="2" t="inlineStr">
        <is>
          <t>โครงการ: Traceable SAF Mass-Balance &amp; Automated PoS/CEF Certificate  |  Session: Get Requirement ครั้งที่ 1</t>
        </is>
      </c>
    </row>
    <row r="4" ht="22" customHeight="1">
      <c r="B4" s="3" t="inlineStr">
        <is>
          <t>เป้าหมาย: verify ว่าข้อมูลจริงมี/ไม่มี, อยู่ระบบไหน, format อะไร  →  ปิด requirement ก่อน BBP Sign-off (11 Sep)</t>
        </is>
      </c>
    </row>
    <row r="6" ht="22" customHeight="1">
      <c r="B6" s="4" t="inlineStr">
        <is>
          <t>วิธีใช้ระหว่างประชุม</t>
        </is>
      </c>
    </row>
    <row r="7" ht="18" customHeight="1">
      <c r="B7" s="5" t="inlineStr">
        <is>
          <t>แต่ละแท็บ</t>
        </is>
      </c>
      <c r="C7" s="6">
        <f> 1 หัวข้อที่ต้องคุย (เรียงตามลำดับการนำเสนอ)</f>
        <v/>
      </c>
    </row>
    <row r="8" ht="18" customHeight="1">
      <c r="B8" s="5" t="inlineStr">
        <is>
          <t>คอลัมน์ 'สถานะข้อมูล'</t>
        </is>
      </c>
      <c r="C8" s="6" t="inlineStr">
        <is>
          <t>คลิกเลือก dropdown: มี / ไม่มี / ต้องคำนวณ / รอยืนยัน</t>
        </is>
      </c>
    </row>
    <row r="9" ht="18" customHeight="1">
      <c r="B9" s="5" t="inlineStr">
        <is>
          <t>คอลัมน์ 'ระบบต้นทาง'</t>
        </is>
      </c>
      <c r="C9" s="6" t="inlineStr">
        <is>
          <t>ลูกค้าตอบว่าข้อมูลมาจากระบบไหน (SAP ECC / ATG / Weighbridge / Excel / SharePoint / Manual)</t>
        </is>
      </c>
    </row>
    <row r="10" ht="18" customHeight="1">
      <c r="B10" s="5" t="inlineStr">
        <is>
          <t>คอลัมน์ 'Format'</t>
        </is>
      </c>
      <c r="C10" s="6" t="inlineStr">
        <is>
          <t>PDF-digital / PDF-scan / Excel / Table / API ฯลฯ</t>
        </is>
      </c>
    </row>
    <row r="11" ht="18" customHeight="1">
      <c r="B11" s="5" t="inlineStr">
        <is>
          <t>คอลัมน์ 'คำตอบ/หมายเหตุ'</t>
        </is>
      </c>
      <c r="C11" s="6" t="inlineStr">
        <is>
          <t>จดคำตอบลูกค้า, action item, ชื่อคนที่จะส่งข้อมูลตัวอย่าง</t>
        </is>
      </c>
    </row>
    <row r="12" ht="18" customHeight="1">
      <c r="B12" s="5" t="inlineStr">
        <is>
          <t>แถวสีส้ม ⚠</t>
        </is>
      </c>
      <c r="C12" s="6">
        <f> ประเด็นวิกฤต (blocker) ต้องได้คำตอบให้ได้ในห้อง</f>
        <v/>
      </c>
    </row>
    <row r="14" ht="22" customHeight="1">
      <c r="B14" s="7" t="inlineStr">
        <is>
          <t>ต้องขอ 'กลับมา' ให้ได้จากลูกค้า</t>
        </is>
      </c>
    </row>
    <row r="15" ht="26" customHeight="1">
      <c r="B15" s="8" t="inlineStr">
        <is>
          <t>☐</t>
        </is>
      </c>
      <c r="C15" s="9" t="inlineStr">
        <is>
          <t>ข้อมูลจริงย้อนหลัง ~1 เดือน ของแต่ละ source (ATG log, weighbridge, blending record, billing)</t>
        </is>
      </c>
    </row>
    <row r="16" ht="26" customHeight="1">
      <c r="B16" s="8" t="inlineStr">
        <is>
          <t>☐</t>
        </is>
      </c>
      <c r="C16" s="9" t="inlineStr">
        <is>
          <t>ตัวอย่างไฟล์ PoS/CEF จริง 3-5 ใบ (ต่าง vendor ถ้ามี) เพื่อเทสว่า digital/scan และ layout ตรงกันไหม</t>
        </is>
      </c>
    </row>
    <row r="17" ht="26" customHeight="1">
      <c r="B17" s="8" t="inlineStr">
        <is>
          <t>☐</t>
        </is>
      </c>
      <c r="C17" s="9" t="inlineStr">
        <is>
          <t>สูตรจริง: blend ratio, SAF output, FIFO batch consumption</t>
        </is>
      </c>
    </row>
    <row r="18" ht="26" customHeight="1">
      <c r="B18" s="8" t="inlineStr">
        <is>
          <t>☐</t>
        </is>
      </c>
      <c r="C18" s="9" t="inlineStr">
        <is>
          <t>ยืนยันการเชื่อมระบบ: ATG &amp; Weighbridge เข้า SAP ได้ หรือต้อง manual/RPA</t>
        </is>
      </c>
    </row>
    <row r="19" ht="26" customHeight="1">
      <c r="B19" s="8" t="inlineStr">
        <is>
          <t>☐</t>
        </is>
      </c>
      <c r="C19" s="9" t="inlineStr">
        <is>
          <t>ตัวอย่าง 'abnormal case' ของ FIFO 1-2 เคส</t>
        </is>
      </c>
    </row>
  </sheetData>
  <mergeCells count="10">
    <mergeCell ref="B3:D3"/>
    <mergeCell ref="B14:D14"/>
    <mergeCell ref="C16:D16"/>
    <mergeCell ref="C15:D15"/>
    <mergeCell ref="B4:D4"/>
    <mergeCell ref="C19:D19"/>
    <mergeCell ref="C18:D18"/>
    <mergeCell ref="C17:D1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4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 ht="26" customHeight="1">
      <c r="A1" s="10" t="inlineStr">
        <is>
          <t>ทั่วไป (Background / Overview / Datasource)</t>
        </is>
      </c>
    </row>
    <row r="2" ht="30" customHeight="1">
      <c r="A2" s="11" t="inlineStr">
        <is>
          <t>เปิดประชุม: เล่าที่มา-ภาพรวมโครงการ แล้ว verify datasource ระดับระบบ + เคลียร์ ATG/Weighbridge ที่เป็นแกนของทุกรายงาน</t>
        </is>
      </c>
    </row>
    <row r="3" ht="30" customHeight="1">
      <c r="A3" s="12" t="inlineStr">
        <is>
          <t>No.</t>
        </is>
      </c>
      <c r="B3" s="12" t="inlineStr">
        <is>
          <t>หัวข้อ / Field</t>
        </is>
      </c>
      <c r="C3" s="12" t="inlineStr">
        <is>
          <t>คำถามที่ต้องถามลูกค้า</t>
        </is>
      </c>
      <c r="D3" s="12" t="inlineStr">
        <is>
          <t>สถานะข้อมูล</t>
        </is>
      </c>
      <c r="E3" s="12" t="inlineStr">
        <is>
          <t>ระบบต้นทาง</t>
        </is>
      </c>
      <c r="F3" s="12" t="inlineStr">
        <is>
          <t>Format ข้อมูล</t>
        </is>
      </c>
      <c r="G3" s="12" t="inlineStr">
        <is>
          <t>ความถี่</t>
        </is>
      </c>
      <c r="H3" s="12" t="inlineStr">
        <is>
          <t>ผู้รับผิดชอบ (ลูกค้า)</t>
        </is>
      </c>
      <c r="I3" s="12" t="inlineStr">
        <is>
          <t>คำตอบ / หมายเหตุ</t>
        </is>
      </c>
    </row>
    <row r="4" ht="20" customHeight="1">
      <c r="A4" s="13" t="inlineStr">
        <is>
          <t>▍ Background &amp; Scope (เล่าให้ฟัง — confirm ความเข้าใจตรงกัน)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</row>
    <row r="5" ht="45" customHeight="1">
      <c r="A5" s="15" t="n">
        <v>1</v>
      </c>
      <c r="B5" s="16" t="inlineStr">
        <is>
          <t>Objective</t>
        </is>
      </c>
      <c r="C5" s="16" t="inlineStr">
        <is>
          <t>ยืนยัน 3 objective: (1) E2E SAF traceability (2) Automated PoS/CEF (3) Mass-balance report — ตรงกับที่ลูกค้าคาดหวังไหม?</t>
        </is>
      </c>
      <c r="D5" s="17" t="n"/>
      <c r="E5" s="16" t="n"/>
      <c r="F5" s="16" t="n"/>
      <c r="G5" s="17" t="n"/>
      <c r="H5" s="16" t="n"/>
      <c r="I5" s="18" t="n"/>
    </row>
    <row r="6" ht="30" customHeight="1">
      <c r="A6" s="15" t="n">
        <v>2</v>
      </c>
      <c r="B6" s="16" t="inlineStr">
        <is>
          <t>Scope entity</t>
        </is>
      </c>
      <c r="C6" s="16" t="inlineStr">
        <is>
          <t>โครงการครอบคลุม material/product/plant ตัวไหนบ้าง? (เฉพาะ SAF หรือรวมอื่น?)</t>
        </is>
      </c>
      <c r="D6" s="17" t="n"/>
      <c r="E6" s="16" t="n"/>
      <c r="F6" s="16" t="n"/>
      <c r="G6" s="17" t="n"/>
      <c r="H6" s="16" t="n"/>
      <c r="I6" s="18" t="n"/>
    </row>
    <row r="7" ht="30" customHeight="1">
      <c r="A7" s="15" t="n">
        <v>3</v>
      </c>
      <c r="B7" s="16" t="inlineStr">
        <is>
          <t>End users</t>
        </is>
      </c>
      <c r="C7" s="16" t="inlineStr">
        <is>
          <t>ใครเป็นผู้ใช้รายงาน &amp; certificate? (audit / operation / commercial)</t>
        </is>
      </c>
      <c r="D7" s="17" t="n"/>
      <c r="E7" s="16" t="n"/>
      <c r="F7" s="16" t="n"/>
      <c r="G7" s="17" t="n"/>
      <c r="H7" s="16" t="n"/>
      <c r="I7" s="18" t="n"/>
    </row>
    <row r="8" ht="20" customHeight="1">
      <c r="A8" s="13" t="inlineStr">
        <is>
          <t>▍ ⚠ Cross-cutting — ต้องเคลียร์ก่อนเข้ารายงาน (แกนของทุก field)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30" customHeight="1">
      <c r="A9" s="15" t="n">
        <v>4</v>
      </c>
      <c r="B9" s="19" t="inlineStr">
        <is>
          <t>ATG (Tank Gauging)</t>
        </is>
      </c>
      <c r="C9" s="20" t="inlineStr">
        <is>
          <t>⚠ มีระบบ ATG จริงไหม? อ่านค่าอัตโนมัติหรือคนจดมือ? ข้อมูลออกมาเป็นอะไร (DB/file/หน้าจอ)?</t>
        </is>
      </c>
      <c r="D9" s="17" t="n"/>
      <c r="E9" s="16" t="n"/>
      <c r="F9" s="16" t="n"/>
      <c r="G9" s="17" t="n"/>
      <c r="H9" s="16" t="n"/>
      <c r="I9" s="18" t="n"/>
    </row>
    <row r="10" ht="30" customHeight="1">
      <c r="A10" s="15" t="n">
        <v>5</v>
      </c>
      <c r="B10" s="19" t="inlineStr">
        <is>
          <t>ATG integration</t>
        </is>
      </c>
      <c r="C10" s="20" t="inlineStr">
        <is>
          <t>⚠ ATG เชื่อมเข้า SAP/BW ได้ไหม หรือต้อง manual/RPA ดึง?</t>
        </is>
      </c>
      <c r="D10" s="17" t="n"/>
      <c r="E10" s="16" t="n"/>
      <c r="F10" s="16" t="n"/>
      <c r="G10" s="17" t="n"/>
      <c r="H10" s="16" t="n"/>
      <c r="I10" s="18" t="n"/>
    </row>
    <row r="11" ht="30" customHeight="1">
      <c r="A11" s="15" t="n">
        <v>6</v>
      </c>
      <c r="B11" s="19" t="inlineStr">
        <is>
          <t>Weighbridge</t>
        </is>
      </c>
      <c r="C11" s="20" t="inlineStr">
        <is>
          <t>⚠ น้ำหนักรถเข้า-ออก เก็บที่ระบบไหน? มีระบบหรือจดมือ? เชื่อม SAP ได้ไหม?</t>
        </is>
      </c>
      <c r="D11" s="17" t="n"/>
      <c r="E11" s="16" t="n"/>
      <c r="F11" s="16" t="n"/>
      <c r="G11" s="17" t="n"/>
      <c r="H11" s="16" t="n"/>
      <c r="I11" s="18" t="n"/>
    </row>
    <row r="12" ht="45" customHeight="1">
      <c r="A12" s="15" t="n">
        <v>7</v>
      </c>
      <c r="B12" s="16" t="inlineStr">
        <is>
          <t>Data frequency</t>
        </is>
      </c>
      <c r="C12" s="16" t="inlineStr">
        <is>
          <t>รายงานเป็น Daily — ลูกค้ามีข้อมูลรายวันครบทุก tank จริงไหม? (สไลด์มีวันเว้นว่างเยอะ = ไม่มี movement หรือ ไม่มีข้อมูล?)</t>
        </is>
      </c>
      <c r="D12" s="17" t="n"/>
      <c r="E12" s="16" t="n"/>
      <c r="F12" s="16" t="n"/>
      <c r="G12" s="17" t="n"/>
      <c r="H12" s="16" t="n"/>
      <c r="I12" s="18" t="n"/>
    </row>
    <row r="13" ht="20" customHeight="1">
      <c r="A13" s="13" t="inlineStr">
        <is>
          <t>▍ Datasource ระดับระบบ (ตาม Data Source Overview)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30" customHeight="1">
      <c r="A14" s="15" t="n">
        <v>8</v>
      </c>
      <c r="B14" s="16" t="inlineStr">
        <is>
          <t>Excel Template (Material In)</t>
        </is>
      </c>
      <c r="C14" s="16" t="inlineStr">
        <is>
          <t>ใครกรอก? กรอกที่ไหน (SharePoint)? column/field อะไรบ้าง? ความถี่?</t>
        </is>
      </c>
      <c r="D14" s="17" t="n"/>
      <c r="E14" s="16" t="n"/>
      <c r="F14" s="16" t="n"/>
      <c r="G14" s="17" t="n"/>
      <c r="H14" s="16" t="n"/>
      <c r="I14" s="18" t="n"/>
    </row>
    <row r="15" ht="45" customHeight="1">
      <c r="A15" s="15" t="n">
        <v>9</v>
      </c>
      <c r="B15" s="16" t="inlineStr">
        <is>
          <t>SAP ECC — Billing</t>
        </is>
      </c>
      <c r="C15" s="16" t="inlineStr">
        <is>
          <t>ใช้ billing type / condition type ตัวไหนที่เกี่ยวกับ SAF? มี z-table/z-program ที่ต้องดึงไหม?</t>
        </is>
      </c>
      <c r="D15" s="17" t="n"/>
      <c r="E15" s="16" t="n"/>
      <c r="F15" s="16" t="n"/>
      <c r="G15" s="17" t="n"/>
      <c r="H15" s="16" t="n"/>
      <c r="I15" s="18" t="n"/>
    </row>
    <row r="16" ht="30" customHeight="1">
      <c r="A16" s="15" t="n">
        <v>10</v>
      </c>
      <c r="B16" s="19" t="inlineStr">
        <is>
          <t>SAP ECC — Blending</t>
        </is>
      </c>
      <c r="C16" s="20" t="inlineStr">
        <is>
          <t>⚠ Blending บอกว่ามาจาก ECC — จริงไหม? อยู่ table/tcode ไหน? หรือจริง ๆ อยู่ ATG/Excel?</t>
        </is>
      </c>
      <c r="D16" s="17" t="n"/>
      <c r="E16" s="16" t="n"/>
      <c r="F16" s="16" t="n"/>
      <c r="G16" s="17" t="n"/>
      <c r="H16" s="16" t="n"/>
      <c r="I16" s="18" t="n"/>
    </row>
    <row r="17" ht="30" customHeight="1">
      <c r="A17" s="15" t="n">
        <v>11</v>
      </c>
      <c r="B17" s="16" t="inlineStr">
        <is>
          <t>PoS Inbound (PDF)</t>
        </is>
      </c>
      <c r="C17" s="16" t="inlineStr">
        <is>
          <t>PDF มาจากใคร เก็บที่ SharePoint อย่างไร? naming convention?</t>
        </is>
      </c>
      <c r="D17" s="17" t="n"/>
      <c r="E17" s="16" t="n"/>
      <c r="F17" s="16" t="n"/>
      <c r="G17" s="17" t="n"/>
      <c r="H17" s="16" t="n"/>
      <c r="I17" s="18" t="n"/>
    </row>
    <row r="18" ht="30" customHeight="1">
      <c r="A18" s="15" t="n">
        <v>12</v>
      </c>
      <c r="B18" s="16" t="inlineStr">
        <is>
          <t>CEF Inbound (PDF)</t>
        </is>
      </c>
      <c r="C18" s="16" t="inlineStr">
        <is>
          <t>เหมือน PoS — vendor เดียวกันหรือคนละชุด?</t>
        </is>
      </c>
      <c r="D18" s="17" t="n"/>
      <c r="E18" s="16" t="n"/>
      <c r="F18" s="16" t="n"/>
      <c r="G18" s="17" t="n"/>
      <c r="H18" s="16" t="n"/>
      <c r="I18" s="18" t="n"/>
    </row>
    <row r="19" ht="30" customHeight="1">
      <c r="A19" s="15" t="n">
        <v>13</v>
      </c>
      <c r="B19" s="16" t="inlineStr">
        <is>
          <t>Volume estimate</t>
        </is>
      </c>
      <c r="C19" s="16" t="inlineStr">
        <is>
          <t>ปริมาณ transaction ต่อเดือน/วัน (เพื่อ sizing RPA &amp; BW)?</t>
        </is>
      </c>
      <c r="D19" s="17" t="n"/>
      <c r="E19" s="16" t="n"/>
      <c r="F19" s="16" t="n"/>
      <c r="G19" s="17" t="n"/>
      <c r="H19" s="16" t="n"/>
      <c r="I19" s="18" t="n"/>
    </row>
  </sheetData>
  <mergeCells count="5">
    <mergeCell ref="A2:I2"/>
    <mergeCell ref="A13:I13"/>
    <mergeCell ref="A1:I1"/>
    <mergeCell ref="A8:I8"/>
    <mergeCell ref="A4:I4"/>
  </mergeCells>
  <dataValidations count="1">
    <dataValidation sqref="D5 D6 D7 D9 D10 D11 D12 D14 D15 D16 D17 D18 D19" showDropDown="0" showInputMessage="0" showErrorMessage="0" allowBlank="1" type="list">
      <formula1>"มี,ไม่มี,ต้องคำนวณ,รอยืนยัน"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4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 ht="26" customHeight="1">
      <c r="A1" s="10" t="inlineStr">
        <is>
          <t>Material In (Daily Neat SAF Movement)</t>
        </is>
      </c>
    </row>
    <row r="2" ht="30" customHeight="1">
      <c r="A2" s="11" t="inlineStr">
        <is>
          <t>Provide Daily Neat SAF (Material In) Movement + Inbound Document link (PoS/CEF). Verify แต่ละ field ว่าข้อมูลจริงมาจากไหน</t>
        </is>
      </c>
    </row>
    <row r="3" ht="30" customHeight="1">
      <c r="A3" s="12" t="inlineStr">
        <is>
          <t>No.</t>
        </is>
      </c>
      <c r="B3" s="12" t="inlineStr">
        <is>
          <t>หัวข้อ / Field</t>
        </is>
      </c>
      <c r="C3" s="12" t="inlineStr">
        <is>
          <t>คำถามที่ต้องถามลูกค้า</t>
        </is>
      </c>
      <c r="D3" s="12" t="inlineStr">
        <is>
          <t>สถานะข้อมูล</t>
        </is>
      </c>
      <c r="E3" s="12" t="inlineStr">
        <is>
          <t>ระบบต้นทาง</t>
        </is>
      </c>
      <c r="F3" s="12" t="inlineStr">
        <is>
          <t>Format ข้อมูล</t>
        </is>
      </c>
      <c r="G3" s="12" t="inlineStr">
        <is>
          <t>ความถี่</t>
        </is>
      </c>
      <c r="H3" s="12" t="inlineStr">
        <is>
          <t>ผู้รับผิดชอบ (ลูกค้า)</t>
        </is>
      </c>
      <c r="I3" s="12" t="inlineStr">
        <is>
          <t>คำตอบ / หมายเหตุ</t>
        </is>
      </c>
    </row>
    <row r="4" ht="30" customHeight="1">
      <c r="A4" s="15" t="n">
        <v>1</v>
      </c>
      <c r="B4" s="16" t="inlineStr">
        <is>
          <t>Date</t>
        </is>
      </c>
      <c r="C4" s="16" t="inlineStr">
        <is>
          <t>movement date มาจากระบบไหน? = วันรับของ หรือวันคีย์?</t>
        </is>
      </c>
      <c r="D4" s="17" t="n"/>
      <c r="E4" s="16" t="n"/>
      <c r="F4" s="16" t="n"/>
      <c r="G4" s="17" t="n"/>
      <c r="H4" s="16" t="n"/>
      <c r="I4" s="18" t="n"/>
    </row>
    <row r="5" ht="30" customHeight="1">
      <c r="A5" s="15" t="n">
        <v>2</v>
      </c>
      <c r="B5" s="16" t="inlineStr">
        <is>
          <t>Batch / Batch POS</t>
        </is>
      </c>
      <c r="C5" s="16" t="inlineStr">
        <is>
          <t>ระบบไหนออก batch number (SSAF-CEF-2026-xxxx)? ใครกำหนด?</t>
        </is>
      </c>
      <c r="D5" s="17" t="n"/>
      <c r="E5" s="16" t="n"/>
      <c r="F5" s="16" t="n"/>
      <c r="G5" s="17" t="n"/>
      <c r="H5" s="16" t="n"/>
      <c r="I5" s="18" t="n"/>
    </row>
    <row r="6" ht="30" customHeight="1">
      <c r="A6" s="15" t="n">
        <v>3</v>
      </c>
      <c r="B6" s="16" t="inlineStr">
        <is>
          <t>Supplier</t>
        </is>
      </c>
      <c r="C6" s="16" t="inlineStr">
        <is>
          <t>มาจากไหน — ระบบ logistics / เอกสารรับ / กรอกมือ? (ในตัวอย่าง: PPTOR, EA)</t>
        </is>
      </c>
      <c r="D6" s="17" t="n"/>
      <c r="E6" s="16" t="n"/>
      <c r="F6" s="16" t="n"/>
      <c r="G6" s="17" t="n"/>
      <c r="H6" s="16" t="n"/>
      <c r="I6" s="18" t="n"/>
    </row>
    <row r="7" ht="30" customHeight="1">
      <c r="A7" s="15" t="n">
        <v>4</v>
      </c>
      <c r="B7" s="16" t="inlineStr">
        <is>
          <t>Truck license plate</t>
        </is>
      </c>
      <c r="C7" s="16" t="inlineStr">
        <is>
          <t>มาจากไหน? ต้องใช้ทำอะไร (matching)?</t>
        </is>
      </c>
      <c r="D7" s="17" t="n"/>
      <c r="E7" s="16" t="n"/>
      <c r="F7" s="16" t="n"/>
      <c r="G7" s="17" t="n"/>
      <c r="H7" s="16" t="n"/>
      <c r="I7" s="18" t="n"/>
    </row>
    <row r="8" ht="30" customHeight="1">
      <c r="A8" s="15" t="n">
        <v>5</v>
      </c>
      <c r="B8" s="19" t="inlineStr">
        <is>
          <t>Truck weight before/after off-loading</t>
        </is>
      </c>
      <c r="C8" s="20" t="inlineStr">
        <is>
          <t>⚠ มาจาก weighbridge — มีระบบไหม? หน่วย kg</t>
        </is>
      </c>
      <c r="D8" s="17" t="n"/>
      <c r="E8" s="16" t="n"/>
      <c r="F8" s="16" t="n"/>
      <c r="G8" s="17" t="n"/>
      <c r="H8" s="16" t="n"/>
      <c r="I8" s="18" t="n"/>
    </row>
    <row r="9" ht="30" customHeight="1">
      <c r="A9" s="15" t="n">
        <v>6</v>
      </c>
      <c r="B9" s="16" t="inlineStr">
        <is>
          <t>Net weight of SAF received (kg)</t>
        </is>
      </c>
      <c r="C9" s="16" t="inlineStr">
        <is>
          <t>คำนวณ (before-after) หรือมีค่าจริง?</t>
        </is>
      </c>
      <c r="D9" s="17" t="n"/>
      <c r="E9" s="16" t="n"/>
      <c r="F9" s="16" t="n"/>
      <c r="G9" s="17" t="n"/>
      <c r="H9" s="16" t="n"/>
      <c r="I9" s="18" t="n"/>
    </row>
    <row r="10" ht="30" customHeight="1">
      <c r="A10" s="15" t="n">
        <v>7</v>
      </c>
      <c r="B10" s="19" t="inlineStr">
        <is>
          <t>Density (kg/L @15°C)</t>
        </is>
      </c>
      <c r="C10" s="20" t="inlineStr">
        <is>
          <t>⚠ วัดจริง หรือคำนวณ? ใครให้ค่า? อยู่ในเอกสารหรือระบบ?</t>
        </is>
      </c>
      <c r="D10" s="17" t="n"/>
      <c r="E10" s="16" t="n"/>
      <c r="F10" s="16" t="n"/>
      <c r="G10" s="17" t="n"/>
      <c r="H10" s="16" t="n"/>
      <c r="I10" s="18" t="n"/>
    </row>
    <row r="11" ht="30" customHeight="1">
      <c r="A11" s="15" t="n">
        <v>8</v>
      </c>
      <c r="B11" s="16" t="inlineStr">
        <is>
          <t>Net volume from weighbridge (m³)</t>
        </is>
      </c>
      <c r="C11" s="16" t="inlineStr">
        <is>
          <t>แปลงจาก weight ÷ density ใช่ไหม? สูตร/มาตรฐานแปลง?</t>
        </is>
      </c>
      <c r="D11" s="17" t="n"/>
      <c r="E11" s="16" t="n"/>
      <c r="F11" s="16" t="n"/>
      <c r="G11" s="17" t="n"/>
      <c r="H11" s="16" t="n"/>
      <c r="I11" s="18" t="n"/>
    </row>
    <row r="12" ht="30" customHeight="1">
      <c r="A12" s="15" t="n">
        <v>9</v>
      </c>
      <c r="B12" s="19" t="inlineStr">
        <is>
          <t>Net volume from PoS (m³)</t>
        </is>
      </c>
      <c r="C12" s="20" t="inlineStr">
        <is>
          <t>⚠ ทำไมมี 2 ค่า (weighbridge vs PoS)? ต่างกันได้แค่ไหน? ใช้ตัวไหน reconcile?</t>
        </is>
      </c>
      <c r="D12" s="17" t="n"/>
      <c r="E12" s="16" t="n"/>
      <c r="F12" s="16" t="n"/>
      <c r="G12" s="17" t="n"/>
      <c r="H12" s="16" t="n"/>
      <c r="I12" s="18" t="n"/>
    </row>
    <row r="13" ht="30" customHeight="1">
      <c r="A13" s="15" t="n">
        <v>10</v>
      </c>
      <c r="B13" s="19" t="inlineStr">
        <is>
          <t>Total life cycle emissions (gCO₂eq/MJ)</t>
        </is>
      </c>
      <c r="C13" s="20" t="inlineStr">
        <is>
          <t>⚠ ค่านี้ (เช่น 58.70) มาจากในเอกสาร PoS/CEF ใช่ไหม? RPA อ่านได้ไหม หรือ fix ค่า?</t>
        </is>
      </c>
      <c r="D13" s="17" t="n"/>
      <c r="E13" s="16" t="n"/>
      <c r="F13" s="16" t="n"/>
      <c r="G13" s="17" t="n"/>
      <c r="H13" s="16" t="n"/>
      <c r="I13" s="18" t="n"/>
    </row>
    <row r="14" ht="30" customHeight="1">
      <c r="A14" s="15" t="n">
        <v>11</v>
      </c>
      <c r="B14" s="16" t="inlineStr">
        <is>
          <t>PoS in (download link)</t>
        </is>
      </c>
      <c r="C14" s="16" t="inlineStr">
        <is>
          <t>ไฟล์ PDF เก็บที่ SharePoint — RPA map ไฟล์กับ batch อย่างไร?</t>
        </is>
      </c>
      <c r="D14" s="17" t="n"/>
      <c r="E14" s="16" t="n"/>
      <c r="F14" s="16" t="n"/>
      <c r="G14" s="17" t="n"/>
      <c r="H14" s="16" t="n"/>
      <c r="I14" s="18" t="n"/>
    </row>
  </sheetData>
  <mergeCells count="2">
    <mergeCell ref="A1:I1"/>
    <mergeCell ref="A2:I2"/>
  </mergeCells>
  <dataValidations count="1">
    <dataValidation sqref="D4 D5 D6 D7 D8 D9 D10 D11 D12 D13 D14" showDropDown="0" showInputMessage="0" showErrorMessage="0" allowBlank="1" type="list">
      <formula1>"มี,ไม่มี,ต้องคำนวณ,รอยืนยัน"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4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 ht="26" customHeight="1">
      <c r="A1" s="10" t="inlineStr">
        <is>
          <t>Blending Data (from SAP ECC)</t>
        </is>
      </c>
    </row>
    <row r="2" ht="30" customHeight="1">
      <c r="A2" s="11" t="inlineStr">
        <is>
          <t>Provide Blending Data from SAP ECC. Verify ว่า field พวกนี้อยู่ใน ECC จริง หรือมาจาก ATG</t>
        </is>
      </c>
    </row>
    <row r="3" ht="30" customHeight="1">
      <c r="A3" s="12" t="inlineStr">
        <is>
          <t>No.</t>
        </is>
      </c>
      <c r="B3" s="12" t="inlineStr">
        <is>
          <t>หัวข้อ / Field</t>
        </is>
      </c>
      <c r="C3" s="12" t="inlineStr">
        <is>
          <t>คำถามที่ต้องถามลูกค้า</t>
        </is>
      </c>
      <c r="D3" s="12" t="inlineStr">
        <is>
          <t>สถานะข้อมูล</t>
        </is>
      </c>
      <c r="E3" s="12" t="inlineStr">
        <is>
          <t>ระบบต้นทาง</t>
        </is>
      </c>
      <c r="F3" s="12" t="inlineStr">
        <is>
          <t>Format ข้อมูล</t>
        </is>
      </c>
      <c r="G3" s="12" t="inlineStr">
        <is>
          <t>ความถี่</t>
        </is>
      </c>
      <c r="H3" s="12" t="inlineStr">
        <is>
          <t>ผู้รับผิดชอบ (ลูกค้า)</t>
        </is>
      </c>
      <c r="I3" s="12" t="inlineStr">
        <is>
          <t>คำตอบ / หมายเหตุ</t>
        </is>
      </c>
    </row>
    <row r="4" ht="30" customHeight="1">
      <c r="A4" s="15" t="n">
        <v>1</v>
      </c>
      <c r="B4" s="16" t="inlineStr">
        <is>
          <t>Date</t>
        </is>
      </c>
      <c r="C4" s="16" t="inlineStr">
        <is>
          <t>วันที่ทำ blending/transfer มาจากระบบไหน?</t>
        </is>
      </c>
      <c r="D4" s="17" t="n"/>
      <c r="E4" s="16" t="n"/>
      <c r="F4" s="16" t="n"/>
      <c r="G4" s="17" t="n"/>
      <c r="H4" s="16" t="n"/>
      <c r="I4" s="18" t="n"/>
    </row>
    <row r="5" ht="30" customHeight="1">
      <c r="A5" s="15" t="n">
        <v>2</v>
      </c>
      <c r="B5" s="19" t="inlineStr">
        <is>
          <t>Source / Destination tank</t>
        </is>
      </c>
      <c r="C5" s="20" t="inlineStr">
        <is>
          <t>⚠ การโอนระหว่างถังบันทึกที่ระบบไหน (ECC / ATG)?</t>
        </is>
      </c>
      <c r="D5" s="17" t="n"/>
      <c r="E5" s="16" t="n"/>
      <c r="F5" s="16" t="n"/>
      <c r="G5" s="17" t="n"/>
      <c r="H5" s="16" t="n"/>
      <c r="I5" s="18" t="n"/>
    </row>
    <row r="6" ht="30" customHeight="1">
      <c r="A6" s="15" t="n">
        <v>3</v>
      </c>
      <c r="B6" s="19" t="inlineStr">
        <is>
          <t>Source volume before/after transferring by ATG (m³)</t>
        </is>
      </c>
      <c r="C6" s="20" t="inlineStr">
        <is>
          <t>⚠ มาจาก ATG — ดู cross-cutting</t>
        </is>
      </c>
      <c r="D6" s="17" t="n"/>
      <c r="E6" s="16" t="n"/>
      <c r="F6" s="16" t="n"/>
      <c r="G6" s="17" t="n"/>
      <c r="H6" s="16" t="n"/>
      <c r="I6" s="18" t="n"/>
    </row>
    <row r="7" ht="30" customHeight="1">
      <c r="A7" s="15" t="n">
        <v>4</v>
      </c>
      <c r="B7" s="16" t="inlineStr">
        <is>
          <t>Transferred volume by ATG (m³)</t>
        </is>
      </c>
      <c r="C7" s="16" t="inlineStr">
        <is>
          <t>คำนวณ (before-after) หรือค่าจริง?</t>
        </is>
      </c>
      <c r="D7" s="17" t="n"/>
      <c r="E7" s="16" t="n"/>
      <c r="F7" s="16" t="n"/>
      <c r="G7" s="17" t="n"/>
      <c r="H7" s="16" t="n"/>
      <c r="I7" s="18" t="n"/>
    </row>
    <row r="8" ht="30" customHeight="1">
      <c r="A8" s="15" t="n">
        <v>5</v>
      </c>
      <c r="B8" s="16" t="inlineStr">
        <is>
          <t>Destination volume before/after receiving by ATG (m³)</t>
        </is>
      </c>
      <c r="C8" s="16" t="inlineStr">
        <is>
          <t>มาจาก ATG</t>
        </is>
      </c>
      <c r="D8" s="17" t="n"/>
      <c r="E8" s="16" t="n"/>
      <c r="F8" s="16" t="n"/>
      <c r="G8" s="17" t="n"/>
      <c r="H8" s="16" t="n"/>
      <c r="I8" s="18" t="n"/>
    </row>
    <row r="9" ht="30" customHeight="1">
      <c r="A9" s="15" t="n">
        <v>6</v>
      </c>
      <c r="B9" s="16" t="inlineStr">
        <is>
          <t>Volume received by ATG (m³)</t>
        </is>
      </c>
      <c r="C9" s="16" t="inlineStr">
        <is>
          <t>คำนวณหรือค่าจริง?</t>
        </is>
      </c>
      <c r="D9" s="17" t="n"/>
      <c r="E9" s="16" t="n"/>
      <c r="F9" s="16" t="n"/>
      <c r="G9" s="17" t="n"/>
      <c r="H9" s="16" t="n"/>
      <c r="I9" s="18" t="n"/>
    </row>
    <row r="10" ht="30" customHeight="1">
      <c r="A10" s="15" t="n">
        <v>7</v>
      </c>
      <c r="B10" s="19" t="inlineStr">
        <is>
          <t>Physical SAF volume in destination before/after (m³)</t>
        </is>
      </c>
      <c r="C10" s="20" t="inlineStr">
        <is>
          <t>⚠ คำนวณจาก blend ratio หรือมีค่าจริง? สูตรคืออะไร?</t>
        </is>
      </c>
      <c r="D10" s="17" t="n"/>
      <c r="E10" s="16" t="n"/>
      <c r="F10" s="16" t="n"/>
      <c r="G10" s="17" t="n"/>
      <c r="H10" s="16" t="n"/>
      <c r="I10" s="18" t="n"/>
    </row>
    <row r="11" ht="30" customHeight="1">
      <c r="A11" s="15" t="n">
        <v>8</v>
      </c>
      <c r="B11" s="16" t="inlineStr">
        <is>
          <t>Physical SAF blend ratio (%V)</t>
        </is>
      </c>
      <c r="C11" s="16" t="inlineStr">
        <is>
          <t>คำนวณจากอะไร? (เช่น 0.89%, 1.54%)</t>
        </is>
      </c>
      <c r="D11" s="17" t="n"/>
      <c r="E11" s="16" t="n"/>
      <c r="F11" s="16" t="n"/>
      <c r="G11" s="17" t="n"/>
      <c r="H11" s="16" t="n"/>
      <c r="I11" s="18" t="n"/>
    </row>
    <row r="12" ht="30" customHeight="1">
      <c r="A12" s="15" t="n">
        <v>9</v>
      </c>
      <c r="B12" s="19" t="inlineStr">
        <is>
          <t>Claim (%V)</t>
        </is>
      </c>
      <c r="C12" s="20" t="inlineStr">
        <is>
          <t>⚠ ต่างจาก physical blend ratio ยังไง? ทำไมตั้งคงที่ 1.00%? ใครกำหนด claim?</t>
        </is>
      </c>
      <c r="D12" s="17" t="n"/>
      <c r="E12" s="16" t="n"/>
      <c r="F12" s="16" t="n"/>
      <c r="G12" s="17" t="n"/>
      <c r="H12" s="16" t="n"/>
      <c r="I12" s="18" t="n"/>
    </row>
  </sheetData>
  <mergeCells count="2">
    <mergeCell ref="A1:I1"/>
    <mergeCell ref="A2:I2"/>
  </mergeCells>
  <dataValidations count="1">
    <dataValidation sqref="D4 D5 D6 D7 D8 D9 D10 D11 D12" showDropDown="0" showInputMessage="0" showErrorMessage="0" allowBlank="1" type="list">
      <formula1>"มี,ไม่มี,ต้องคำนวณ,รอยืนยัน"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4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 ht="26" customHeight="1">
      <c r="A1" s="10" t="inlineStr">
        <is>
          <t>Material Out (Daily + FIFO consumption)</t>
        </is>
      </c>
    </row>
    <row r="2" ht="30" customHeight="1">
      <c r="A2" s="11" t="inlineStr">
        <is>
          <t>Provide Daily Material Out Movement + batch consumption (FIFO) + Outbound Document link (PoS/CEF)</t>
        </is>
      </c>
    </row>
    <row r="3" ht="30" customHeight="1">
      <c r="A3" s="12" t="inlineStr">
        <is>
          <t>No.</t>
        </is>
      </c>
      <c r="B3" s="12" t="inlineStr">
        <is>
          <t>หัวข้อ / Field</t>
        </is>
      </c>
      <c r="C3" s="12" t="inlineStr">
        <is>
          <t>คำถามที่ต้องถามลูกค้า</t>
        </is>
      </c>
      <c r="D3" s="12" t="inlineStr">
        <is>
          <t>สถานะข้อมูล</t>
        </is>
      </c>
      <c r="E3" s="12" t="inlineStr">
        <is>
          <t>ระบบต้นทาง</t>
        </is>
      </c>
      <c r="F3" s="12" t="inlineStr">
        <is>
          <t>Format ข้อมูล</t>
        </is>
      </c>
      <c r="G3" s="12" t="inlineStr">
        <is>
          <t>ความถี่</t>
        </is>
      </c>
      <c r="H3" s="12" t="inlineStr">
        <is>
          <t>ผู้รับผิดชอบ (ลูกค้า)</t>
        </is>
      </c>
      <c r="I3" s="12" t="inlineStr">
        <is>
          <t>คำตอบ / หมายเหตุ</t>
        </is>
      </c>
    </row>
    <row r="4" ht="30" customHeight="1">
      <c r="A4" s="15" t="n">
        <v>1</v>
      </c>
      <c r="B4" s="16" t="inlineStr">
        <is>
          <t>Date / Tank</t>
        </is>
      </c>
      <c r="C4" s="16" t="inlineStr">
        <is>
          <t>movement date &amp; tank มาจากระบบไหน?</t>
        </is>
      </c>
      <c r="D4" s="17" t="n"/>
      <c r="E4" s="16" t="n"/>
      <c r="F4" s="16" t="n"/>
      <c r="G4" s="17" t="n"/>
      <c r="H4" s="16" t="n"/>
      <c r="I4" s="18" t="n"/>
    </row>
    <row r="5" ht="30" customHeight="1">
      <c r="A5" s="15" t="n">
        <v>2</v>
      </c>
      <c r="B5" s="19" t="inlineStr">
        <is>
          <t>Tank volume before/after sale by ATG (m³)</t>
        </is>
      </c>
      <c r="C5" s="20" t="inlineStr">
        <is>
          <t>⚠ มาจาก ATG</t>
        </is>
      </c>
      <c r="D5" s="17" t="n"/>
      <c r="E5" s="16" t="n"/>
      <c r="F5" s="16" t="n"/>
      <c r="G5" s="17" t="n"/>
      <c r="H5" s="16" t="n"/>
      <c r="I5" s="18" t="n"/>
    </row>
    <row r="6" ht="30" customHeight="1">
      <c r="A6" s="15" t="n">
        <v>3</v>
      </c>
      <c r="B6" s="16" t="inlineStr">
        <is>
          <t>Sale volume of blended SAF by ATG (m³)</t>
        </is>
      </c>
      <c r="C6" s="16">
        <f> before-after หรือค่าจริง? ตรงกับ billing qty ไหม?</f>
        <v/>
      </c>
      <c r="D6" s="17" t="n"/>
      <c r="E6" s="16" t="n"/>
      <c r="F6" s="16" t="n"/>
      <c r="G6" s="17" t="n"/>
      <c r="H6" s="16" t="n"/>
      <c r="I6" s="18" t="n"/>
    </row>
    <row r="7" ht="30" customHeight="1">
      <c r="A7" s="15" t="n">
        <v>4</v>
      </c>
      <c r="B7" s="19" t="inlineStr">
        <is>
          <t>SAF opening balance (m³)</t>
        </is>
      </c>
      <c r="C7" s="20" t="inlineStr">
        <is>
          <t>⚠ ค่าตั้งต้นมาจากไหน? ต่อเนื่องข้ามวัน/ข้าม tank อย่างไร?</t>
        </is>
      </c>
      <c r="D7" s="17" t="n"/>
      <c r="E7" s="16" t="n"/>
      <c r="F7" s="16" t="n"/>
      <c r="G7" s="17" t="n"/>
      <c r="H7" s="16" t="n"/>
      <c r="I7" s="18" t="n"/>
    </row>
    <row r="8" ht="30" customHeight="1">
      <c r="A8" s="15" t="n">
        <v>5</v>
      </c>
      <c r="B8" s="16" t="inlineStr">
        <is>
          <t>SAF output (m³)</t>
        </is>
      </c>
      <c r="C8" s="16" t="inlineStr">
        <is>
          <t>คำนวณจาก sale × blend ratio ใช่ไหม? สูตร?</t>
        </is>
      </c>
      <c r="D8" s="17" t="n"/>
      <c r="E8" s="16" t="n"/>
      <c r="F8" s="16" t="n"/>
      <c r="G8" s="17" t="n"/>
      <c r="H8" s="16" t="n"/>
      <c r="I8" s="18" t="n"/>
    </row>
    <row r="9" ht="30" customHeight="1">
      <c r="A9" s="15" t="n">
        <v>6</v>
      </c>
      <c r="B9" s="16" t="inlineStr">
        <is>
          <t>SAF closing balance (m³)</t>
        </is>
      </c>
      <c r="C9" s="16">
        <f> opening + received − output ? ยืนยันสมการ</f>
        <v/>
      </c>
      <c r="D9" s="17" t="n"/>
      <c r="E9" s="16" t="n"/>
      <c r="F9" s="16" t="n"/>
      <c r="G9" s="17" t="n"/>
      <c r="H9" s="16" t="n"/>
      <c r="I9" s="18" t="n"/>
    </row>
    <row r="10" ht="45" customHeight="1">
      <c r="A10" s="15" t="n">
        <v>7</v>
      </c>
      <c r="B10" s="19" t="inlineStr">
        <is>
          <t>Batch consumption (FIFO)</t>
        </is>
      </c>
      <c r="C10" s="20" t="inlineStr">
        <is>
          <t>⚠ ตรรกะ '26-0006 for 38.13/18.13 (Remain 0)' — batch เรียงคิวตาม field ไหน? Remain carry ข้ามวัน/ข้าม tank อย่างไร?</t>
        </is>
      </c>
      <c r="D10" s="17" t="n"/>
      <c r="E10" s="16" t="n"/>
      <c r="F10" s="16" t="n"/>
      <c r="G10" s="17" t="n"/>
      <c r="H10" s="16" t="n"/>
      <c r="I10" s="18" t="n"/>
    </row>
    <row r="11" ht="30" customHeight="1">
      <c r="A11" s="15" t="n">
        <v>8</v>
      </c>
      <c r="B11" s="16" t="inlineStr">
        <is>
          <t>Batch / PoS out (download)</t>
        </is>
      </c>
      <c r="C11" s="16" t="inlineStr">
        <is>
          <t>outbound cert 1 ใบ อ้าง inbound batch กี่ตัว? mapping logic?</t>
        </is>
      </c>
      <c r="D11" s="17" t="n"/>
      <c r="E11" s="16" t="n"/>
      <c r="F11" s="16" t="n"/>
      <c r="G11" s="17" t="n"/>
      <c r="H11" s="16" t="n"/>
      <c r="I11" s="18" t="n"/>
    </row>
  </sheetData>
  <mergeCells count="2">
    <mergeCell ref="A1:I1"/>
    <mergeCell ref="A2:I2"/>
  </mergeCells>
  <dataValidations count="1">
    <dataValidation sqref="D4 D5 D6 D7 D8 D9 D10 D11" showDropDown="0" showInputMessage="0" showErrorMessage="0" allowBlank="1" type="list">
      <formula1>"มี,ไม่มี,ต้องคำนวณ,รอยืนยัน"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4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 ht="26" customHeight="1">
      <c r="A1" s="10" t="inlineStr">
        <is>
          <t>FIFO Logic (ตัด batch ขาออก)</t>
        </is>
      </c>
    </row>
    <row r="2" ht="30" customHeight="1">
      <c r="A2" s="11" t="inlineStr">
        <is>
          <t>Logic ปัจจุบันเป็น 'Normal Case' เท่านั้น — ต้องให้ลูกค้าชี้ edge case จริงก่อนขึ้น Program FIFO (Sep)</t>
        </is>
      </c>
    </row>
    <row r="3" ht="30" customHeight="1">
      <c r="A3" s="12" t="inlineStr">
        <is>
          <t>No.</t>
        </is>
      </c>
      <c r="B3" s="12" t="inlineStr">
        <is>
          <t>หัวข้อ / Field</t>
        </is>
      </c>
      <c r="C3" s="12" t="inlineStr">
        <is>
          <t>คำถามที่ต้องถามลูกค้า</t>
        </is>
      </c>
      <c r="D3" s="12" t="inlineStr">
        <is>
          <t>สถานะข้อมูล</t>
        </is>
      </c>
      <c r="E3" s="12" t="inlineStr">
        <is>
          <t>ระบบต้นทาง</t>
        </is>
      </c>
      <c r="F3" s="12" t="inlineStr">
        <is>
          <t>Format ข้อมูล</t>
        </is>
      </c>
      <c r="G3" s="12" t="inlineStr">
        <is>
          <t>ความถี่</t>
        </is>
      </c>
      <c r="H3" s="12" t="inlineStr">
        <is>
          <t>ผู้รับผิดชอบ (ลูกค้า)</t>
        </is>
      </c>
      <c r="I3" s="12" t="inlineStr">
        <is>
          <t>คำตอบ / หมายเหตุ</t>
        </is>
      </c>
    </row>
    <row r="4" ht="20" customHeight="1">
      <c r="A4" s="13" t="inlineStr">
        <is>
          <t>▍ ยืนยัน Logic หลัก (Normal Case)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</row>
    <row r="5" ht="30" customHeight="1">
      <c r="A5" s="15" t="n">
        <v>1</v>
      </c>
      <c r="B5" s="16" t="inlineStr">
        <is>
          <t>Sort key</t>
        </is>
      </c>
      <c r="C5" s="16" t="inlineStr">
        <is>
          <t>เรียง material in เก่า→ใหม่ ตัดจาก batch เก่าสุดก่อน — ยืนยันถูกต้อง</t>
        </is>
      </c>
      <c r="D5" s="17" t="n"/>
      <c r="E5" s="16" t="n"/>
      <c r="F5" s="16" t="n"/>
      <c r="G5" s="17" t="n"/>
      <c r="H5" s="16" t="n"/>
      <c r="I5" s="18" t="n"/>
    </row>
    <row r="6" ht="30" customHeight="1">
      <c r="A6" s="15" t="n">
        <v>2</v>
      </c>
      <c r="B6" s="19" t="inlineStr">
        <is>
          <t>Tie-break (วันเดียวกัน)</t>
        </is>
      </c>
      <c r="C6" s="20" t="inlineStr">
        <is>
          <t>⚠ รับเข้าวันเดียวกันหลาย batch — เรียงลำดับตาม key ไหน (batch no./เลขเอกสาร/เวลา/ลำดับคีย์)?</t>
        </is>
      </c>
      <c r="D6" s="17" t="n"/>
      <c r="E6" s="16" t="n"/>
      <c r="F6" s="16" t="n"/>
      <c r="G6" s="17" t="n"/>
      <c r="H6" s="16" t="n"/>
      <c r="I6" s="18" t="n"/>
    </row>
    <row r="7" ht="30" customHeight="1">
      <c r="A7" s="15" t="n">
        <v>3</v>
      </c>
      <c r="B7" s="16" t="inlineStr">
        <is>
          <t>Batch Out numbering</t>
        </is>
      </c>
      <c r="C7" s="16" t="inlineStr">
        <is>
          <t>Top01, Top02… running ต่อเนื่องข้าม billing หรือ reset ต่อใบ?</t>
        </is>
      </c>
      <c r="D7" s="17" t="n"/>
      <c r="E7" s="16" t="n"/>
      <c r="F7" s="16" t="n"/>
      <c r="G7" s="17" t="n"/>
      <c r="H7" s="16" t="n"/>
      <c r="I7" s="18" t="n"/>
    </row>
    <row r="8" ht="30" customHeight="1">
      <c r="A8" s="15" t="n">
        <v>4</v>
      </c>
      <c r="B8" s="16" t="inlineStr">
        <is>
          <t>New Batch Out trigger</t>
        </is>
      </c>
      <c r="C8" s="16" t="inlineStr">
        <is>
          <t>ขึ้น Batch Out ใหม่เมื่อ: (ก) เปลี่ยน batch in (ข) เปลี่ยน billing — ยืนยันทั้ง 2</t>
        </is>
      </c>
      <c r="D8" s="17" t="n"/>
      <c r="E8" s="16" t="n"/>
      <c r="F8" s="16" t="n"/>
      <c r="G8" s="17" t="n"/>
      <c r="H8" s="16" t="n"/>
      <c r="I8" s="18" t="n"/>
    </row>
    <row r="9" ht="20" customHeight="1">
      <c r="A9" s="13" t="inlineStr">
        <is>
          <t>▍ ⚠ ระดับที่ตัด — ต้องเคลียร์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30" customHeight="1">
      <c r="A10" s="15" t="n">
        <v>5</v>
      </c>
      <c r="B10" s="19" t="inlineStr">
        <is>
          <t>Batch vs Tank</t>
        </is>
      </c>
      <c r="C10" s="20" t="inlineStr">
        <is>
          <t>⚠ FIFO ตัดเชิงบัญชี (mass-balance) ไม่ผูก tank จริง หรือต้องแยก FIFO ต่อ tank?</t>
        </is>
      </c>
      <c r="D10" s="17" t="n"/>
      <c r="E10" s="16" t="n"/>
      <c r="F10" s="16" t="n"/>
      <c r="G10" s="17" t="n"/>
      <c r="H10" s="16" t="n"/>
      <c r="I10" s="18" t="n"/>
    </row>
    <row r="11" ht="30" customHeight="1">
      <c r="A11" s="15" t="n">
        <v>6</v>
      </c>
      <c r="B11" s="19" t="inlineStr">
        <is>
          <t>Blending consume</t>
        </is>
      </c>
      <c r="C11" s="20" t="inlineStr">
        <is>
          <t>⚠ FIFO ตัด batch เฉพาะตอนขาย (billing) หรือ ตอน blend ก็ต้องตัดด้วย?</t>
        </is>
      </c>
      <c r="D11" s="17" t="n"/>
      <c r="E11" s="16" t="n"/>
      <c r="F11" s="16" t="n"/>
      <c r="G11" s="17" t="n"/>
      <c r="H11" s="16" t="n"/>
      <c r="I11" s="18" t="n"/>
    </row>
    <row r="12" ht="45" customHeight="1">
      <c r="A12" s="15" t="n">
        <v>7</v>
      </c>
      <c r="B12" s="19" t="inlineStr">
        <is>
          <t>Vendor mixing</t>
        </is>
      </c>
      <c r="C12" s="20" t="inlineStr">
        <is>
          <t>⚠ 1 billing กินหลาย vendor (PTT+ESSO+GGC) — ออก PoS/CEF ได้ไหมในเชิง regulation (ISCC/CORSIA)?</t>
        </is>
      </c>
      <c r="D12" s="17" t="n"/>
      <c r="E12" s="16" t="n"/>
      <c r="F12" s="16" t="n"/>
      <c r="G12" s="17" t="n"/>
      <c r="H12" s="16" t="n"/>
      <c r="I12" s="18" t="n"/>
    </row>
    <row r="13" ht="30" customHeight="1">
      <c r="A13" s="15" t="n">
        <v>8</v>
      </c>
      <c r="B13" s="16" t="inlineStr">
        <is>
          <t>FIFO scope</t>
        </is>
      </c>
      <c r="C13" s="16" t="inlineStr">
        <is>
          <t>FIFO run แยกตาม material/product/plant ตัวไหน? (filter scope)</t>
        </is>
      </c>
      <c r="D13" s="17" t="n"/>
      <c r="E13" s="16" t="n"/>
      <c r="F13" s="16" t="n"/>
      <c r="G13" s="17" t="n"/>
      <c r="H13" s="16" t="n"/>
      <c r="I13" s="18" t="n"/>
    </row>
    <row r="14" ht="20" customHeight="1">
      <c r="A14" s="13" t="inlineStr">
        <is>
          <t>▍ ⚠ Edge case (Normal Case ยังไม่มี) — ถามว่าเกิดจริงไหม + ขอตัวอย่าง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30" customHeight="1">
      <c r="A15" s="15" t="n">
        <v>9</v>
      </c>
      <c r="B15" s="19" t="inlineStr">
        <is>
          <t>ของไม่พอ</t>
        </is>
      </c>
      <c r="C15" s="20" t="inlineStr">
        <is>
          <t>⚠ billing &gt; stock ที่มี → error / ตัดติดลบ / ตัดบางส่วน?</t>
        </is>
      </c>
      <c r="D15" s="17" t="n"/>
      <c r="E15" s="16" t="n"/>
      <c r="F15" s="16" t="n"/>
      <c r="G15" s="17" t="n"/>
      <c r="H15" s="16" t="n"/>
      <c r="I15" s="18" t="n"/>
    </row>
    <row r="16" ht="30" customHeight="1">
      <c r="A16" s="15" t="n">
        <v>10</v>
      </c>
      <c r="B16" s="19" t="inlineStr">
        <is>
          <t>ยกเลิก/คืนของ</t>
        </is>
      </c>
      <c r="C16" s="20" t="inlineStr">
        <is>
          <t>⚠ billing ถูก cancel หลังตัดแล้ว → คืน qty เข้า batch เดิมอย่างไร?</t>
        </is>
      </c>
      <c r="D16" s="17" t="n"/>
      <c r="E16" s="16" t="n"/>
      <c r="F16" s="16" t="n"/>
      <c r="G16" s="17" t="n"/>
      <c r="H16" s="16" t="n"/>
      <c r="I16" s="18" t="n"/>
    </row>
    <row r="17" ht="30" customHeight="1">
      <c r="A17" s="15" t="n">
        <v>11</v>
      </c>
      <c r="B17" s="19" t="inlineStr">
        <is>
          <t>เอกสารย้อนหลัง</t>
        </is>
      </c>
      <c r="C17" s="20" t="inlineStr">
        <is>
          <t>⚠ material in / billing คีย์ย้อนวัน → ต้อง re-sequence &amp; ตัดใหม่ย้อนหลังไหม?</t>
        </is>
      </c>
      <c r="D17" s="17" t="n"/>
      <c r="E17" s="16" t="n"/>
      <c r="F17" s="16" t="n"/>
      <c r="G17" s="17" t="n"/>
      <c r="H17" s="16" t="n"/>
      <c r="I17" s="18" t="n"/>
    </row>
    <row r="18" ht="30" customHeight="1">
      <c r="A18" s="15" t="n">
        <v>12</v>
      </c>
      <c r="B18" s="16" t="inlineStr">
        <is>
          <t>แก้ปริมาณ</t>
        </is>
      </c>
      <c r="C18" s="16" t="inlineStr">
        <is>
          <t>ATG ปรับค่าภายหลัง → กระทบ balance ที่ตัดไปแล้ว จัดการอย่างไร?</t>
        </is>
      </c>
      <c r="D18" s="17" t="n"/>
      <c r="E18" s="16" t="n"/>
      <c r="F18" s="16" t="n"/>
      <c r="G18" s="17" t="n"/>
      <c r="H18" s="16" t="n"/>
      <c r="I18" s="18" t="n"/>
    </row>
    <row r="19" ht="30" customHeight="1">
      <c r="A19" s="15" t="n">
        <v>13</v>
      </c>
      <c r="B19" s="16" t="inlineStr">
        <is>
          <t>เศษทศนิยม / rounding</t>
        </is>
      </c>
      <c r="C19" s="16" t="inlineStr">
        <is>
          <t>ข้อมูลจริงเป็น 38.13 m³ — กฎ rounding, เหลือติดลบเล็กน้อยจัดการอย่างไร?</t>
        </is>
      </c>
      <c r="D19" s="17" t="n"/>
      <c r="E19" s="16" t="n"/>
      <c r="F19" s="16" t="n"/>
      <c r="G19" s="17" t="n"/>
      <c r="H19" s="16" t="n"/>
      <c r="I19" s="18" t="n"/>
    </row>
    <row r="20" ht="30" customHeight="1">
      <c r="A20" s="15" t="n">
        <v>14</v>
      </c>
      <c r="B20" s="16" t="inlineStr">
        <is>
          <t>หลาย billing วันเดียวกัน</t>
        </is>
      </c>
      <c r="C20" s="16" t="inlineStr">
        <is>
          <t>tie-break ฝั่งขาออกด้วย — เรียงตาม key ไหน?</t>
        </is>
      </c>
      <c r="D20" s="17" t="n"/>
      <c r="E20" s="16" t="n"/>
      <c r="F20" s="16" t="n"/>
      <c r="G20" s="17" t="n"/>
      <c r="H20" s="16" t="n"/>
      <c r="I20" s="18" t="n"/>
    </row>
  </sheetData>
  <mergeCells count="5">
    <mergeCell ref="A2:I2"/>
    <mergeCell ref="A14:I14"/>
    <mergeCell ref="A1:I1"/>
    <mergeCell ref="A9:I9"/>
    <mergeCell ref="A4:I4"/>
  </mergeCells>
  <dataValidations count="1">
    <dataValidation sqref="D5 D6 D7 D8 D10 D11 D12 D13 D15 D16 D17 D18 D19 D20" showDropDown="0" showInputMessage="0" showErrorMessage="0" allowBlank="1" type="list">
      <formula1>"มี,ไม่มี,ต้องคำนวณ,รอยืนยัน"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4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 ht="26" customHeight="1">
      <c r="A1" s="10" t="inlineStr">
        <is>
          <t>เอกสาร CEF / PoS จาก Vendor (RPA อ่าน)</t>
        </is>
      </c>
    </row>
    <row r="2" ht="30" customHeight="1">
      <c r="A2" s="11" t="inlineStr">
        <is>
          <t>เอกสารที่รับจาก vendor: ISCC PoS V2.1 + CEF Identification form. RPA อ่านได้/ไม่ได้ขึ้นกับความสม่ำเสมอของเอกสาร</t>
        </is>
      </c>
    </row>
    <row r="3" ht="30" customHeight="1">
      <c r="A3" s="12" t="inlineStr">
        <is>
          <t>No.</t>
        </is>
      </c>
      <c r="B3" s="12" t="inlineStr">
        <is>
          <t>หัวข้อ / Field</t>
        </is>
      </c>
      <c r="C3" s="12" t="inlineStr">
        <is>
          <t>คำถามที่ต้องถามลูกค้า</t>
        </is>
      </c>
      <c r="D3" s="12" t="inlineStr">
        <is>
          <t>สถานะข้อมูล</t>
        </is>
      </c>
      <c r="E3" s="12" t="inlineStr">
        <is>
          <t>ระบบต้นทาง</t>
        </is>
      </c>
      <c r="F3" s="12" t="inlineStr">
        <is>
          <t>Format ข้อมูล</t>
        </is>
      </c>
      <c r="G3" s="12" t="inlineStr">
        <is>
          <t>ความถี่</t>
        </is>
      </c>
      <c r="H3" s="12" t="inlineStr">
        <is>
          <t>ผู้รับผิดชอบ (ลูกค้า)</t>
        </is>
      </c>
      <c r="I3" s="12" t="inlineStr">
        <is>
          <t>คำตอบ / หมายเหตุ</t>
        </is>
      </c>
    </row>
    <row r="4" ht="20" customHeight="1">
      <c r="A4" s="13" t="inlineStr">
        <is>
          <t>▍ ⚠ ความเป็นไปได้ของ RPA (ชี้เป็นชี้ตาย)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</row>
    <row r="5" ht="45" customHeight="1">
      <c r="A5" s="15" t="n">
        <v>1</v>
      </c>
      <c r="B5" s="19" t="inlineStr">
        <is>
          <t>PDF type</t>
        </is>
      </c>
      <c r="C5" s="20" t="inlineStr">
        <is>
          <t>⚠ เป็น PDF digital (กรอกในคอม/export) หรือ scan/ถ่ายรูป/เซ็นแล้วสแกน? (ถ้า scan = ต้อง OCR เสี่ยง) — ขอไฟล์จริงมาดู</t>
        </is>
      </c>
      <c r="D5" s="17" t="n"/>
      <c r="E5" s="16" t="n"/>
      <c r="F5" s="16" t="n"/>
      <c r="G5" s="17" t="n"/>
      <c r="H5" s="16" t="n"/>
      <c r="I5" s="18" t="n"/>
    </row>
    <row r="6" ht="30" customHeight="1">
      <c r="A6" s="15" t="n">
        <v>2</v>
      </c>
      <c r="B6" s="19" t="inlineStr">
        <is>
          <t>Template consistency (vendor)</t>
        </is>
      </c>
      <c r="C6" s="20" t="inlineStr">
        <is>
          <t>⚠ vendor แต่ละเจ้า (PPTOR/EA/Neste…) ใช้ฟอร์ม ISCC เดียวกันหมด หรือคนละแบบ?</t>
        </is>
      </c>
      <c r="D6" s="17" t="n"/>
      <c r="E6" s="16" t="n"/>
      <c r="F6" s="16" t="n"/>
      <c r="G6" s="17" t="n"/>
      <c r="H6" s="16" t="n"/>
      <c r="I6" s="18" t="n"/>
    </row>
    <row r="7" ht="30" customHeight="1">
      <c r="A7" s="15" t="n">
        <v>3</v>
      </c>
      <c r="B7" s="19" t="inlineStr">
        <is>
          <t>Template consistency (version)</t>
        </is>
      </c>
      <c r="C7" s="20" t="inlineStr">
        <is>
          <t>⚠ มีแต่ V2.1 หรือมี version เก่ากว่าปนมา? (layout เลื่อน = RPA พัง)</t>
        </is>
      </c>
      <c r="D7" s="17" t="n"/>
      <c r="E7" s="16" t="n"/>
      <c r="F7" s="16" t="n"/>
      <c r="G7" s="17" t="n"/>
      <c r="H7" s="16" t="n"/>
      <c r="I7" s="18" t="n"/>
    </row>
    <row r="8" ht="45" customHeight="1">
      <c r="A8" s="15" t="n">
        <v>4</v>
      </c>
      <c r="B8" s="19" t="inlineStr">
        <is>
          <t>1 ไฟล์ = 1 batch?</t>
        </is>
      </c>
      <c r="C8" s="20" t="inlineStr">
        <is>
          <t>⚠ หัวเอกสาร 'For one batch' — รถ 1 คันมีหลาย batch = หลายไฟล์? map ไฟล์↔batch↔แถว Material In อย่างไร?</t>
        </is>
      </c>
      <c r="D8" s="17" t="n"/>
      <c r="E8" s="16" t="n"/>
      <c r="F8" s="16" t="n"/>
      <c r="G8" s="17" t="n"/>
      <c r="H8" s="16" t="n"/>
      <c r="I8" s="18" t="n"/>
    </row>
    <row r="9" ht="20" customHeight="1">
      <c r="A9" s="13" t="inlineStr">
        <is>
          <t>▍ Field ที่ต้องดึง (ให้ลูกค้าชี้ในเอกสาร)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30" customHeight="1">
      <c r="A10" s="15" t="n">
        <v>5</v>
      </c>
      <c r="B10" s="16" t="inlineStr">
        <is>
          <t>Unique / Batch ID</t>
        </is>
      </c>
      <c r="C10" s="16" t="inlineStr">
        <is>
          <t>TOP-CEF-2026-0001 — เชื่อมกับ Batch POS ในรายงานใช่ไหม?</t>
        </is>
      </c>
      <c r="D10" s="17" t="n"/>
      <c r="E10" s="16" t="n"/>
      <c r="F10" s="16" t="n"/>
      <c r="G10" s="17" t="n"/>
      <c r="H10" s="16" t="n"/>
      <c r="I10" s="18" t="n"/>
    </row>
    <row r="11" ht="30" customHeight="1">
      <c r="A11" s="15" t="n">
        <v>6</v>
      </c>
      <c r="B11" s="16" t="inlineStr">
        <is>
          <t>Original CEF batch no.</t>
        </is>
      </c>
      <c r="C11" s="16" t="inlineStr">
        <is>
          <t>Neste-SAF-FUEL-2025-0075 — ต้องเก็บไหม?</t>
        </is>
      </c>
      <c r="D11" s="17" t="n"/>
      <c r="E11" s="16" t="n"/>
      <c r="F11" s="16" t="n"/>
      <c r="G11" s="17" t="n"/>
      <c r="H11" s="16" t="n"/>
      <c r="I11" s="18" t="n"/>
    </row>
    <row r="12" ht="30" customHeight="1">
      <c r="A12" s="15" t="n">
        <v>7</v>
      </c>
      <c r="B12" s="19" t="inlineStr">
        <is>
          <t>Mass of original CEF batch (mt)</t>
        </is>
      </c>
      <c r="C12" s="20" t="inlineStr">
        <is>
          <t>⚠ 5000 mt — หน่วย mass ต้องแปลงเป็น m³ ด้วย density ไหม?</t>
        </is>
      </c>
      <c r="D12" s="17" t="n"/>
      <c r="E12" s="16" t="n"/>
      <c r="F12" s="16" t="n"/>
      <c r="G12" s="17" t="n"/>
      <c r="H12" s="16" t="n"/>
      <c r="I12" s="18" t="n"/>
    </row>
    <row r="13" ht="30" customHeight="1">
      <c r="A13" s="15" t="n">
        <v>8</v>
      </c>
      <c r="B13" s="16" t="inlineStr">
        <is>
          <t>Dates</t>
        </is>
      </c>
      <c r="C13" s="16" t="inlineStr">
        <is>
          <t>date of production / dispatch / issuance — ต้องดึงตัวไหนบ้าง?</t>
        </is>
      </c>
      <c r="D13" s="17" t="n"/>
      <c r="E13" s="16" t="n"/>
      <c r="F13" s="16" t="n"/>
      <c r="G13" s="17" t="n"/>
      <c r="H13" s="16" t="n"/>
      <c r="I13" s="18" t="n"/>
    </row>
    <row r="14" ht="30" customHeight="1">
      <c r="A14" s="15" t="n">
        <v>9</v>
      </c>
      <c r="B14" s="16" t="inlineStr">
        <is>
          <t>Supplier / Recipient + Cert no.</t>
        </is>
      </c>
      <c r="C14" s="16" t="inlineStr">
        <is>
          <t>ต้องเก็บ certificate/contract number ไหม?</t>
        </is>
      </c>
      <c r="D14" s="17" t="n"/>
      <c r="E14" s="16" t="n"/>
      <c r="F14" s="16" t="n"/>
      <c r="G14" s="17" t="n"/>
      <c r="H14" s="16" t="n"/>
      <c r="I14" s="18" t="n"/>
    </row>
    <row r="15" ht="30" customHeight="1">
      <c r="A15" s="15" t="n">
        <v>10</v>
      </c>
      <c r="B15" s="16" t="inlineStr">
        <is>
          <t>Producer info</t>
        </is>
      </c>
      <c r="C15" s="16" t="inlineStr">
        <is>
          <t>Neste + address + location — ต้องเก็บลง BW ไหม?</t>
        </is>
      </c>
      <c r="D15" s="17" t="n"/>
      <c r="E15" s="16" t="n"/>
      <c r="F15" s="16" t="n"/>
      <c r="G15" s="17" t="n"/>
      <c r="H15" s="16" t="n"/>
      <c r="I15" s="18" t="n"/>
    </row>
    <row r="16" ht="30" customHeight="1">
      <c r="A16" s="15" t="n">
        <v>11</v>
      </c>
      <c r="B16" s="19" t="inlineStr">
        <is>
          <t>Emission value</t>
        </is>
      </c>
      <c r="C16" s="20" t="inlineStr">
        <is>
          <t>⚠ ค่า gCO₂eq/MJ อยู่หน้าไหนของเอกสาร? (ไม่เห็นในหน้า PoS ที่ให้มา)</t>
        </is>
      </c>
      <c r="D16" s="17" t="n"/>
      <c r="E16" s="16" t="n"/>
      <c r="F16" s="16" t="n"/>
      <c r="G16" s="17" t="n"/>
      <c r="H16" s="16" t="n"/>
      <c r="I16" s="18" t="n"/>
    </row>
    <row r="17" ht="20" customHeight="1">
      <c r="A17" s="13" t="inlineStr">
        <is>
          <t>▍ การจัดเก็บ &amp; จัดการ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45" customHeight="1">
      <c r="A18" s="15" t="n">
        <v>12</v>
      </c>
      <c r="B18" s="16" t="inlineStr">
        <is>
          <t>Naming / storage</t>
        </is>
      </c>
      <c r="C18" s="16" t="inlineStr">
        <is>
          <t>ตั้งชื่อไฟล์อย่างไรใน SharePoint? RPA รู้ได้อย่างไรว่าไฟล์เป็นของ batch ไหน (ชื่อไฟล์ หรืออ่านในเอกสาร)?</t>
        </is>
      </c>
      <c r="D18" s="17" t="n"/>
      <c r="E18" s="16" t="n"/>
      <c r="F18" s="16" t="n"/>
      <c r="G18" s="17" t="n"/>
      <c r="H18" s="16" t="n"/>
      <c r="I18" s="18" t="n"/>
    </row>
    <row r="19" ht="30" customHeight="1">
      <c r="A19" s="15" t="n">
        <v>13</v>
      </c>
      <c r="B19" s="16" t="inlineStr">
        <is>
          <t>Mandatory vs n/a</t>
        </is>
      </c>
      <c r="C19" s="16" t="inlineStr">
        <is>
          <t>field * บังคับ / บาง field = n/a — RPA ต้องรับมือช่องว่างอย่างไร?</t>
        </is>
      </c>
      <c r="D19" s="17" t="n"/>
      <c r="E19" s="16" t="n"/>
      <c r="F19" s="16" t="n"/>
      <c r="G19" s="17" t="n"/>
      <c r="H19" s="16" t="n"/>
      <c r="I19" s="18" t="n"/>
    </row>
    <row r="20" ht="30" customHeight="1">
      <c r="A20" s="15" t="n">
        <v>14</v>
      </c>
      <c r="B20" s="16" t="inlineStr">
        <is>
          <t>Language</t>
        </is>
      </c>
      <c r="C20" s="16" t="inlineStr">
        <is>
          <t>เอกสารเป็นภาษาอังกฤษเสมอไหม?</t>
        </is>
      </c>
      <c r="D20" s="17" t="n"/>
      <c r="E20" s="16" t="n"/>
      <c r="F20" s="16" t="n"/>
      <c r="G20" s="17" t="n"/>
      <c r="H20" s="16" t="n"/>
      <c r="I20" s="18" t="n"/>
    </row>
    <row r="21" ht="30" customHeight="1">
      <c r="A21" s="15" t="n">
        <v>15</v>
      </c>
      <c r="B21" s="16" t="inlineStr">
        <is>
          <t>Chain of custody</t>
        </is>
      </c>
      <c r="C21" s="16">
        <f> Mass balance เสมอ หรือมีแบบอื่น?</f>
        <v/>
      </c>
      <c r="D21" s="17" t="n"/>
      <c r="E21" s="16" t="n"/>
      <c r="F21" s="16" t="n"/>
      <c r="G21" s="17" t="n"/>
      <c r="H21" s="16" t="n"/>
      <c r="I21" s="18" t="n"/>
    </row>
  </sheetData>
  <mergeCells count="5">
    <mergeCell ref="A2:I2"/>
    <mergeCell ref="A1:I1"/>
    <mergeCell ref="A17:I17"/>
    <mergeCell ref="A9:I9"/>
    <mergeCell ref="A4:I4"/>
  </mergeCells>
  <dataValidations count="1">
    <dataValidation sqref="D5 D6 D7 D8 D10 D11 D12 D13 D14 D15 D16 D18 D19 D20 D21" showDropDown="0" showInputMessage="0" showErrorMessage="0" allowBlank="1" type="list">
      <formula1>"มี,ไม่มี,ต้องคำนวณ,รอยืนยัน"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2026-08-26T13:02:01Z</dcterms:created>
  <dcterms:modified xsi:type="dcterms:W3CDTF">2026-08-26T13:02:01Z</dcterms:modified>
</cp:coreProperties>
</file>